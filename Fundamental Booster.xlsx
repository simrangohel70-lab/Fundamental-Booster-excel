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E778234-7BB6-49EA-B533-7747DF1E927C}" xr6:coauthVersionLast="47" xr6:coauthVersionMax="47" xr10:uidLastSave="{00000000-0000-0000-0000-000000000000}"/>
  <bookViews>
    <workbookView xWindow="-108" yWindow="-108" windowWidth="23256" windowHeight="12456" xr2:uid="{B1C00166-6CC8-4BA9-882A-85709252A102}"/>
  </bookViews>
  <sheets>
    <sheet name="student data" sheetId="1" r:id="rId1"/>
    <sheet name="Sales data" sheetId="2" r:id="rId2"/>
    <sheet name="Emloyee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K2" i="2"/>
  <c r="J2" i="2"/>
  <c r="I2" i="2"/>
  <c r="R2" i="1" a="1"/>
  <c r="R2" i="1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I2" i="4"/>
  <c r="S2" i="2"/>
  <c r="G2" i="1"/>
  <c r="H2" i="1" s="1"/>
  <c r="I2" i="1" s="1"/>
  <c r="J2" i="1"/>
  <c r="K2" i="1"/>
  <c r="L2" i="1"/>
  <c r="M2" i="1"/>
  <c r="N2" i="1"/>
  <c r="G3" i="1"/>
  <c r="H3" i="1" s="1"/>
  <c r="J3" i="1"/>
  <c r="K3" i="1"/>
  <c r="L3" i="1"/>
  <c r="M3" i="1"/>
  <c r="N3" i="1"/>
  <c r="G4" i="1"/>
  <c r="H4" i="1"/>
  <c r="I4" i="1"/>
  <c r="J4" i="1"/>
  <c r="K4" i="1"/>
  <c r="L4" i="1"/>
  <c r="M4" i="1"/>
  <c r="N4" i="1"/>
  <c r="G5" i="1"/>
  <c r="H5" i="1" s="1"/>
  <c r="I5" i="1" s="1"/>
  <c r="J5" i="1"/>
  <c r="K5" i="1"/>
  <c r="L5" i="1"/>
  <c r="M5" i="1"/>
  <c r="N5" i="1"/>
  <c r="G6" i="1"/>
  <c r="H6" i="1"/>
  <c r="I6" i="1"/>
  <c r="J6" i="1"/>
  <c r="K6" i="1"/>
  <c r="L6" i="1"/>
  <c r="M6" i="1"/>
  <c r="N6" i="1"/>
  <c r="G7" i="1"/>
  <c r="H7" i="1"/>
  <c r="I7" i="1"/>
  <c r="J7" i="1"/>
  <c r="K7" i="1"/>
  <c r="L7" i="1"/>
  <c r="M7" i="1"/>
  <c r="N7" i="1"/>
  <c r="G8" i="1"/>
  <c r="H8" i="1"/>
  <c r="I8" i="1" s="1"/>
  <c r="J8" i="1"/>
  <c r="K8" i="1"/>
  <c r="L8" i="1"/>
  <c r="M8" i="1"/>
  <c r="N8" i="1"/>
  <c r="G9" i="1"/>
  <c r="H9" i="1" s="1"/>
  <c r="I9" i="1" s="1"/>
  <c r="J9" i="1"/>
  <c r="K9" i="1"/>
  <c r="L9" i="1"/>
  <c r="M9" i="1"/>
  <c r="N9" i="1"/>
  <c r="G10" i="1"/>
  <c r="H10" i="1"/>
  <c r="I10" i="1"/>
  <c r="J10" i="1"/>
  <c r="K10" i="1"/>
  <c r="L10" i="1"/>
  <c r="M10" i="1"/>
  <c r="N10" i="1"/>
  <c r="G11" i="1"/>
  <c r="H11" i="1"/>
  <c r="I11" i="1" s="1"/>
  <c r="J11" i="1"/>
  <c r="K11" i="1"/>
  <c r="L11" i="1"/>
  <c r="M11" i="1"/>
  <c r="N11" i="1"/>
  <c r="G12" i="1"/>
  <c r="H12" i="1"/>
  <c r="I12" i="1" s="1"/>
  <c r="J12" i="1"/>
  <c r="K12" i="1"/>
  <c r="L12" i="1"/>
  <c r="M12" i="1"/>
  <c r="N12" i="1"/>
  <c r="G13" i="1"/>
  <c r="H13" i="1" s="1"/>
  <c r="I13" i="1" s="1"/>
  <c r="J13" i="1"/>
  <c r="K13" i="1"/>
  <c r="L13" i="1"/>
  <c r="M13" i="1"/>
  <c r="N13" i="1"/>
  <c r="G14" i="1"/>
  <c r="H14" i="1"/>
  <c r="I14" i="1" s="1"/>
  <c r="J14" i="1"/>
  <c r="K14" i="1"/>
  <c r="L14" i="1"/>
  <c r="M14" i="1"/>
  <c r="N14" i="1"/>
  <c r="G15" i="1"/>
  <c r="H15" i="1"/>
  <c r="I15" i="1"/>
  <c r="J15" i="1"/>
  <c r="K15" i="1"/>
  <c r="L15" i="1"/>
  <c r="M15" i="1"/>
  <c r="N15" i="1"/>
  <c r="G16" i="1"/>
  <c r="H16" i="1"/>
  <c r="I16" i="1"/>
  <c r="J16" i="1"/>
  <c r="K16" i="1"/>
  <c r="L16" i="1"/>
  <c r="M16" i="1"/>
  <c r="N16" i="1"/>
  <c r="G17" i="1"/>
  <c r="H17" i="1" s="1"/>
  <c r="I17" i="1" s="1"/>
  <c r="J17" i="1"/>
  <c r="K17" i="1"/>
  <c r="L17" i="1"/>
  <c r="M17" i="1"/>
  <c r="N17" i="1"/>
  <c r="G18" i="1"/>
  <c r="H18" i="1" s="1"/>
  <c r="I18" i="1" s="1"/>
  <c r="J18" i="1"/>
  <c r="K18" i="1"/>
  <c r="L18" i="1"/>
  <c r="M18" i="1"/>
  <c r="N18" i="1"/>
  <c r="G19" i="1"/>
  <c r="H19" i="1" s="1"/>
  <c r="I19" i="1" s="1"/>
  <c r="J19" i="1"/>
  <c r="K19" i="1"/>
  <c r="L19" i="1"/>
  <c r="M19" i="1"/>
  <c r="N19" i="1"/>
  <c r="G20" i="1"/>
  <c r="H20" i="1"/>
  <c r="I20" i="1" s="1"/>
  <c r="J20" i="1"/>
  <c r="K20" i="1"/>
  <c r="L20" i="1"/>
  <c r="M20" i="1"/>
  <c r="N20" i="1"/>
  <c r="G21" i="1"/>
  <c r="H21" i="1" s="1"/>
  <c r="I21" i="1" s="1"/>
  <c r="J21" i="1"/>
  <c r="K21" i="1"/>
  <c r="L21" i="1"/>
  <c r="M21" i="1"/>
  <c r="N21" i="1"/>
  <c r="V2" i="2"/>
  <c r="R2" i="2"/>
  <c r="P2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Q8" i="1"/>
  <c r="P2" i="1"/>
  <c r="U2" i="2" a="1"/>
  <c r="I3" i="1" l="1"/>
  <c r="U2" i="2"/>
  <c r="P5" i="1"/>
  <c r="H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<sst xmlns="http://schemas.openxmlformats.org/spreadsheetml/2006/main" count="174" uniqueCount="125">
  <si>
    <t>Student ID</t>
  </si>
  <si>
    <t>Name</t>
  </si>
  <si>
    <t>Math</t>
  </si>
  <si>
    <t>Science</t>
  </si>
  <si>
    <t>English</t>
  </si>
  <si>
    <t>Enrollment Date</t>
  </si>
  <si>
    <t>Total marks</t>
  </si>
  <si>
    <t>Grade</t>
  </si>
  <si>
    <t>percentage</t>
  </si>
  <si>
    <t>math &amp;sci above 80+</t>
  </si>
  <si>
    <t>math above 50</t>
  </si>
  <si>
    <t>average score above 60</t>
  </si>
  <si>
    <t>Simran Gohel</t>
  </si>
  <si>
    <t>Maahi Shah</t>
  </si>
  <si>
    <t>Manan Patel</t>
  </si>
  <si>
    <t>Isha Mehta</t>
  </si>
  <si>
    <t>Dhvni Joshi</t>
  </si>
  <si>
    <t>Sarth Desai</t>
  </si>
  <si>
    <t>Hiral Patel</t>
  </si>
  <si>
    <t>Priya Sharma</t>
  </si>
  <si>
    <t>Krish Shah</t>
  </si>
  <si>
    <t>Priyanshu Verma</t>
  </si>
  <si>
    <t>Rahul Kumar</t>
  </si>
  <si>
    <t>Neha Singh</t>
  </si>
  <si>
    <t>Aarav Patel</t>
  </si>
  <si>
    <t>Kavya Shah</t>
  </si>
  <si>
    <t>Rohan Mehta</t>
  </si>
  <si>
    <t>Ananya Desai</t>
  </si>
  <si>
    <t>Arjun Joshi</t>
  </si>
  <si>
    <t>Diya Patel</t>
  </si>
  <si>
    <t>Vivaan Shah</t>
  </si>
  <si>
    <t>Riya Mehta</t>
  </si>
  <si>
    <t>search studentid</t>
  </si>
  <si>
    <t>Student name</t>
  </si>
  <si>
    <t>first word</t>
  </si>
  <si>
    <t>Upper</t>
  </si>
  <si>
    <t>lower</t>
  </si>
  <si>
    <t>days since enrollment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</si>
  <si>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</si>
  <si>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</si>
  <si>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</si>
  <si>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</si>
  <si>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</si>
  <si>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</si>
  <si>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</si>
  <si>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</si>
  <si>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</si>
  <si>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</si>
  <si>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</si>
  <si>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</si>
  <si>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</si>
  <si>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</si>
  <si>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</si>
  <si>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</si>
  <si>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</si>
  <si>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</si>
  <si>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</si>
  <si>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</si>
  <si>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</si>
  <si>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</si>
  <si>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</si>
  <si>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</si>
  <si>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</si>
  <si>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</si>
  <si>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</si>
  <si>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</si>
  <si>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</si>
  <si>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</si>
  <si>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</si>
  <si>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</si>
  <si>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</si>
  <si>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</si>
  <si>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</si>
  <si>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Discount</t>
  </si>
  <si>
    <t>Discount eligibility</t>
  </si>
  <si>
    <t>East Keyboard total</t>
  </si>
  <si>
    <t>search product</t>
  </si>
  <si>
    <t>product amount</t>
  </si>
  <si>
    <t>searchg salesperson</t>
  </si>
  <si>
    <t>person 10</t>
  </si>
  <si>
    <t>sales amount</t>
  </si>
  <si>
    <t>search salesperson</t>
  </si>
  <si>
    <t>person 15</t>
  </si>
  <si>
    <t xml:space="preserve">product position </t>
  </si>
  <si>
    <t>call reference</t>
  </si>
  <si>
    <t>E5</t>
  </si>
  <si>
    <t xml:space="preserve">dynamic value </t>
  </si>
  <si>
    <t>Dynamic sale total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</si>
  <si>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</si>
  <si>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</si>
  <si>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</si>
  <si>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</si>
  <si>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</si>
  <si>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</si>
  <si>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</si>
  <si>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</si>
  <si>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</si>
  <si>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</si>
  <si>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</si>
  <si>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</si>
  <si>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</si>
  <si>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</si>
  <si>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</si>
  <si>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</si>
  <si>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</si>
  <si>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</si>
  <si>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</si>
  <si>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</si>
  <si>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</si>
  <si>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</si>
  <si>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</si>
  <si>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</si>
  <si>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</si>
  <si>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</si>
  <si>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</si>
  <si>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</si>
  <si>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salary</t>
  </si>
  <si>
    <t>Moniter</t>
  </si>
  <si>
    <t>seach employee id</t>
  </si>
  <si>
    <t>Formatted joining date</t>
  </si>
  <si>
    <t>Years since joining</t>
  </si>
  <si>
    <t>student above 80%</t>
  </si>
  <si>
    <t>Round</t>
  </si>
  <si>
    <t>Ceiling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</si>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</sst>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79998168889431442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2" fontId="2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42" fontId="4" fillId="2" borderId="2" xfId="2" applyFont="1" applyFill="1" applyBorder="1" applyAlignment="1">
      <alignment horizontal="center" vertical="center" wrapText="1"/>
    </xf>
    <xf numFmtId="42" fontId="3" fillId="0" borderId="2" xfId="2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2" fontId="3" fillId="0" borderId="2" xfId="2" applyFont="1" applyBorder="1"/>
    <xf numFmtId="0" fontId="0" fillId="0" borderId="3" xfId="0" applyBorder="1"/>
    <xf numFmtId="0" fontId="4" fillId="2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right" vertical="center" wrapText="1"/>
    </xf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5" fillId="0" borderId="2" xfId="1" applyFont="1" applyBorder="1" applyAlignment="1">
      <alignment vertical="center" wrapText="1"/>
    </xf>
    <xf numFmtId="0" fontId="5" fillId="0" borderId="2" xfId="1" applyFont="1" applyBorder="1" applyAlignment="1">
      <alignment horizontal="right" vertical="center" wrapText="1"/>
    </xf>
    <xf numFmtId="22" fontId="5" fillId="0" borderId="2" xfId="1" applyNumberFormat="1" applyFont="1" applyBorder="1" applyAlignment="1">
      <alignment vertical="center" wrapText="1"/>
    </xf>
    <xf numFmtId="0" fontId="5" fillId="0" borderId="2" xfId="1" applyFont="1" applyBorder="1"/>
    <xf numFmtId="0" fontId="5" fillId="0" borderId="2" xfId="0" applyFont="1" applyBorder="1"/>
    <xf numFmtId="0" fontId="5" fillId="3" borderId="3" xfId="3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/>
  </cellXfs>
  <cellStyles count="4">
    <cellStyle name="20% - Accent6" xfId="3" builtinId="50"/>
    <cellStyle name="Currency [0]" xfId="2" builtinId="7"/>
    <cellStyle name="Heading 2" xfId="1" builtinId="17"/>
    <cellStyle name="Normal" xfId="0" builtinId="0"/>
  </cellStyles>
  <dxfs count="6"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88AF-55CA-4034-9464-B413EEFC86E4}">
  <dimension ref="A1:Z21"/>
  <sheetViews>
    <sheetView tabSelected="1" zoomScale="55" zoomScaleNormal="55" workbookViewId="0">
      <selection activeCell="U11" sqref="U11"/>
    </sheetView>
  </sheetViews>
  <sheetFormatPr defaultRowHeight="14.4" x14ac:dyDescent="0.3"/>
  <cols>
    <col min="1" max="1" width="9.109375" customWidth="1"/>
    <col min="2" max="2" width="12.109375" customWidth="1"/>
    <col min="3" max="5" width="9.109375" bestFit="1" customWidth="1"/>
    <col min="6" max="6" width="21.44140625" customWidth="1"/>
    <col min="7" max="8" width="9.109375" bestFit="1" customWidth="1"/>
    <col min="14" max="14" width="9.109375" bestFit="1" customWidth="1"/>
    <col min="16" max="16" width="9" bestFit="1" customWidth="1"/>
    <col min="17" max="17" width="14.88671875" customWidth="1"/>
    <col min="18" max="18" width="22.21875" customWidth="1"/>
    <col min="19" max="23" width="9" bestFit="1" customWidth="1"/>
  </cols>
  <sheetData>
    <row r="1" spans="1:26" ht="72" x14ac:dyDescent="0.35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8</v>
      </c>
      <c r="I1" s="15" t="s">
        <v>7</v>
      </c>
      <c r="J1" s="15" t="s">
        <v>9</v>
      </c>
      <c r="K1" s="15" t="s">
        <v>34</v>
      </c>
      <c r="L1" s="15" t="s">
        <v>35</v>
      </c>
      <c r="M1" s="15" t="s">
        <v>36</v>
      </c>
      <c r="N1" s="15" t="s">
        <v>37</v>
      </c>
      <c r="O1" s="17"/>
      <c r="P1" s="18" t="s">
        <v>10</v>
      </c>
      <c r="Q1" s="17"/>
      <c r="R1" s="19" t="s">
        <v>121</v>
      </c>
      <c r="S1" s="17"/>
      <c r="T1" s="17"/>
      <c r="U1" s="17"/>
      <c r="V1" s="17"/>
      <c r="W1" s="17"/>
      <c r="X1" s="17"/>
      <c r="Y1" s="17"/>
      <c r="Z1" s="17"/>
    </row>
    <row r="2" spans="1:26" ht="36" x14ac:dyDescent="0.35">
      <c r="A2" s="20">
        <v>1001</v>
      </c>
      <c r="B2" s="20" t="s">
        <v>12</v>
      </c>
      <c r="C2" s="21">
        <v>61</v>
      </c>
      <c r="D2" s="21">
        <v>48</v>
      </c>
      <c r="E2" s="21">
        <v>76</v>
      </c>
      <c r="F2" s="22">
        <v>43101</v>
      </c>
      <c r="G2" s="23">
        <f>C2+D2+E2</f>
        <v>185</v>
      </c>
      <c r="H2" s="23">
        <f>G2/300*100</f>
        <v>61.666666666666671</v>
      </c>
      <c r="I2" s="23" t="str">
        <f>IF(H2&gt;=80,"A",IF(H2&gt;=60,"B",IF(H2&gt;=40,"C","Fail")))</f>
        <v>B</v>
      </c>
      <c r="J2" s="23" t="str">
        <f>IF(AND(C2&gt;80,D2&gt;80),"Yes","No")</f>
        <v>No</v>
      </c>
      <c r="K2" s="23" t="str">
        <f>LEFT(B2,FIND(" ",B2)-1)</f>
        <v>Simran</v>
      </c>
      <c r="L2" s="23" t="str">
        <f>UPPER(B2)</f>
        <v>SIMRAN GOHEL</v>
      </c>
      <c r="M2" s="23" t="str">
        <f>LOWER(B2)</f>
        <v>simran gohel</v>
      </c>
      <c r="N2" s="23">
        <f ca="1">TODAY()-F2</f>
        <v>3158</v>
      </c>
      <c r="O2" s="17"/>
      <c r="P2" s="24">
        <f>COUNTIFS(C2:C21,"&gt;50")</f>
        <v>19</v>
      </c>
      <c r="Q2" s="17"/>
      <c r="R2" s="25" cm="1">
        <f t="array" ref="R2:Z3">_xlfn._xlws.FILTER(A2:I21,H2:H21&gt;80)</f>
        <v>1012</v>
      </c>
      <c r="S2" s="25" t="str">
        <v>Neha Singh</v>
      </c>
      <c r="T2" s="25">
        <v>85</v>
      </c>
      <c r="U2" s="25">
        <v>89</v>
      </c>
      <c r="V2" s="25">
        <v>79</v>
      </c>
      <c r="W2" s="25">
        <v>45081</v>
      </c>
      <c r="X2" s="25">
        <v>253</v>
      </c>
      <c r="Y2" s="25">
        <v>84.333333333333343</v>
      </c>
      <c r="Z2" s="25" t="str">
        <v>A</v>
      </c>
    </row>
    <row r="3" spans="1:26" ht="36" x14ac:dyDescent="0.35">
      <c r="A3" s="20">
        <v>1002</v>
      </c>
      <c r="B3" s="20" t="s">
        <v>13</v>
      </c>
      <c r="C3" s="21">
        <v>78</v>
      </c>
      <c r="D3" s="21">
        <v>76</v>
      </c>
      <c r="E3" s="21">
        <v>70</v>
      </c>
      <c r="F3" s="22">
        <v>43281</v>
      </c>
      <c r="G3" s="23">
        <f t="shared" ref="G3:G21" si="0">C3+D3+E3</f>
        <v>224</v>
      </c>
      <c r="H3" s="23">
        <f t="shared" ref="H3:H21" si="1">G3/300*100</f>
        <v>74.666666666666671</v>
      </c>
      <c r="I3" s="23" t="str">
        <f t="shared" ref="I3:I21" si="2">IF(H3&gt;=80,"A",IF(H3&gt;=60,"B",IF(H3&gt;=40,"C","Fail")))</f>
        <v>B</v>
      </c>
      <c r="J3" s="23" t="str">
        <f t="shared" ref="J3:J21" si="3">IF(AND(C3&gt;80,D3&gt;80),"Yes","No")</f>
        <v>No</v>
      </c>
      <c r="K3" s="23" t="str">
        <f t="shared" ref="K3:K21" si="4">LEFT(B3,FIND(" ",B3)-1)</f>
        <v>Maahi</v>
      </c>
      <c r="L3" s="23" t="str">
        <f t="shared" ref="L3:L21" si="5">UPPER(B3)</f>
        <v>MAAHI SHAH</v>
      </c>
      <c r="M3" s="23" t="str">
        <f t="shared" ref="M3:M21" si="6">LOWER(B3)</f>
        <v>maahi shah</v>
      </c>
      <c r="N3" s="23">
        <f t="shared" ref="N3:N21" ca="1" si="7">TODAY()-F3</f>
        <v>2978</v>
      </c>
      <c r="O3" s="17"/>
      <c r="P3" s="17"/>
      <c r="Q3" s="17"/>
      <c r="R3" s="25">
        <v>1013</v>
      </c>
      <c r="S3" s="25" t="str">
        <v>Aarav Patel</v>
      </c>
      <c r="T3" s="25">
        <v>98</v>
      </c>
      <c r="U3" s="25">
        <v>90</v>
      </c>
      <c r="V3" s="25">
        <v>97</v>
      </c>
      <c r="W3" s="25">
        <v>45261</v>
      </c>
      <c r="X3" s="25">
        <v>285</v>
      </c>
      <c r="Y3" s="25">
        <v>95</v>
      </c>
      <c r="Z3" s="25" t="str">
        <v>A</v>
      </c>
    </row>
    <row r="4" spans="1:26" ht="72" x14ac:dyDescent="0.35">
      <c r="A4" s="20">
        <v>1003</v>
      </c>
      <c r="B4" s="20" t="s">
        <v>14</v>
      </c>
      <c r="C4" s="21">
        <v>97</v>
      </c>
      <c r="D4" s="21">
        <v>60</v>
      </c>
      <c r="E4" s="21">
        <v>51</v>
      </c>
      <c r="F4" s="22">
        <v>43461</v>
      </c>
      <c r="G4" s="23">
        <f t="shared" si="0"/>
        <v>208</v>
      </c>
      <c r="H4" s="23">
        <f t="shared" si="1"/>
        <v>69.333333333333343</v>
      </c>
      <c r="I4" s="23" t="str">
        <f t="shared" si="2"/>
        <v>B</v>
      </c>
      <c r="J4" s="23" t="str">
        <f t="shared" si="3"/>
        <v>No</v>
      </c>
      <c r="K4" s="23" t="str">
        <f t="shared" si="4"/>
        <v>Manan</v>
      </c>
      <c r="L4" s="23" t="str">
        <f t="shared" si="5"/>
        <v>MANAN PATEL</v>
      </c>
      <c r="M4" s="23" t="str">
        <f t="shared" si="6"/>
        <v>manan patel</v>
      </c>
      <c r="N4" s="23">
        <f t="shared" ca="1" si="7"/>
        <v>2798</v>
      </c>
      <c r="O4" s="17"/>
      <c r="P4" s="18" t="s">
        <v>11</v>
      </c>
      <c r="Q4" s="17"/>
      <c r="R4" s="17"/>
      <c r="S4" s="17"/>
      <c r="T4" s="17"/>
      <c r="U4" s="17"/>
      <c r="V4" s="26"/>
      <c r="W4" s="17"/>
      <c r="X4" s="17"/>
      <c r="Y4" s="17"/>
      <c r="Z4" s="17"/>
    </row>
    <row r="5" spans="1:26" ht="36" x14ac:dyDescent="0.35">
      <c r="A5" s="20">
        <v>1004</v>
      </c>
      <c r="B5" s="20" t="s">
        <v>15</v>
      </c>
      <c r="C5" s="21">
        <v>74</v>
      </c>
      <c r="D5" s="21">
        <v>55</v>
      </c>
      <c r="E5" s="21">
        <v>46</v>
      </c>
      <c r="F5" s="22">
        <v>43641</v>
      </c>
      <c r="G5" s="23">
        <f t="shared" si="0"/>
        <v>175</v>
      </c>
      <c r="H5" s="23">
        <f t="shared" si="1"/>
        <v>58.333333333333336</v>
      </c>
      <c r="I5" s="23" t="str">
        <f t="shared" si="2"/>
        <v>C</v>
      </c>
      <c r="J5" s="23" t="str">
        <f t="shared" si="3"/>
        <v>No</v>
      </c>
      <c r="K5" s="23" t="str">
        <f t="shared" si="4"/>
        <v>Isha</v>
      </c>
      <c r="L5" s="23" t="str">
        <f t="shared" si="5"/>
        <v>ISHA MEHTA</v>
      </c>
      <c r="M5" s="23" t="str">
        <f t="shared" si="6"/>
        <v>isha mehta</v>
      </c>
      <c r="N5" s="23">
        <f t="shared" ca="1" si="7"/>
        <v>2618</v>
      </c>
      <c r="O5" s="17"/>
      <c r="P5" s="24">
        <f>AVERAGEIFS(H2:H21,H2:H21,"&gt;60")</f>
        <v>73.625000000000014</v>
      </c>
      <c r="Q5" s="17"/>
      <c r="R5" s="17"/>
      <c r="S5" s="17"/>
      <c r="T5" s="17"/>
      <c r="U5" s="27"/>
      <c r="V5" s="27"/>
      <c r="W5" s="17"/>
      <c r="X5" s="17"/>
      <c r="Y5" s="17"/>
      <c r="Z5" s="17"/>
    </row>
    <row r="6" spans="1:26" ht="36" x14ac:dyDescent="0.35">
      <c r="A6" s="20">
        <v>1005</v>
      </c>
      <c r="B6" s="20" t="s">
        <v>16</v>
      </c>
      <c r="C6" s="21">
        <v>68</v>
      </c>
      <c r="D6" s="21">
        <v>74</v>
      </c>
      <c r="E6" s="21">
        <v>84</v>
      </c>
      <c r="F6" s="22">
        <v>43821</v>
      </c>
      <c r="G6" s="23">
        <f t="shared" si="0"/>
        <v>226</v>
      </c>
      <c r="H6" s="23">
        <f t="shared" si="1"/>
        <v>75.333333333333329</v>
      </c>
      <c r="I6" s="23" t="str">
        <f t="shared" si="2"/>
        <v>B</v>
      </c>
      <c r="J6" s="23" t="str">
        <f t="shared" si="3"/>
        <v>No</v>
      </c>
      <c r="K6" s="23" t="str">
        <f t="shared" si="4"/>
        <v>Dhvni</v>
      </c>
      <c r="L6" s="23" t="str">
        <f t="shared" si="5"/>
        <v>DHVNI JOSHI</v>
      </c>
      <c r="M6" s="23" t="str">
        <f t="shared" si="6"/>
        <v>dhvni joshi</v>
      </c>
      <c r="N6" s="23">
        <f t="shared" ca="1" si="7"/>
        <v>2438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28"/>
    </row>
    <row r="7" spans="1:26" ht="54" x14ac:dyDescent="0.35">
      <c r="A7" s="20">
        <v>1006</v>
      </c>
      <c r="B7" s="20" t="s">
        <v>17</v>
      </c>
      <c r="C7" s="21">
        <v>80</v>
      </c>
      <c r="D7" s="21">
        <v>70</v>
      </c>
      <c r="E7" s="21">
        <v>65</v>
      </c>
      <c r="F7" s="22">
        <v>44001</v>
      </c>
      <c r="G7" s="23">
        <f t="shared" si="0"/>
        <v>215</v>
      </c>
      <c r="H7" s="23">
        <f t="shared" si="1"/>
        <v>71.666666666666671</v>
      </c>
      <c r="I7" s="23" t="str">
        <f t="shared" si="2"/>
        <v>B</v>
      </c>
      <c r="J7" s="23" t="str">
        <f t="shared" si="3"/>
        <v>No</v>
      </c>
      <c r="K7" s="23" t="str">
        <f t="shared" si="4"/>
        <v>Sarth</v>
      </c>
      <c r="L7" s="23" t="str">
        <f t="shared" si="5"/>
        <v>SARTH DESAI</v>
      </c>
      <c r="M7" s="23" t="str">
        <f t="shared" si="6"/>
        <v>sarth desai</v>
      </c>
      <c r="N7" s="23">
        <f t="shared" ca="1" si="7"/>
        <v>2258</v>
      </c>
      <c r="O7" s="17"/>
      <c r="P7" s="18" t="s">
        <v>32</v>
      </c>
      <c r="Q7" s="18" t="s">
        <v>33</v>
      </c>
      <c r="R7" s="17"/>
      <c r="S7" s="17"/>
      <c r="T7" s="17"/>
      <c r="U7" s="17"/>
      <c r="V7" s="17"/>
      <c r="W7" s="17"/>
      <c r="X7" s="17"/>
      <c r="Y7" s="17"/>
      <c r="Z7" s="17"/>
    </row>
    <row r="8" spans="1:26" ht="18" x14ac:dyDescent="0.35">
      <c r="A8" s="20">
        <v>1007</v>
      </c>
      <c r="B8" s="20" t="s">
        <v>18</v>
      </c>
      <c r="C8" s="21">
        <v>75</v>
      </c>
      <c r="D8" s="21">
        <v>47</v>
      </c>
      <c r="E8" s="21">
        <v>78</v>
      </c>
      <c r="F8" s="22">
        <v>44181</v>
      </c>
      <c r="G8" s="23">
        <f t="shared" si="0"/>
        <v>200</v>
      </c>
      <c r="H8" s="23">
        <f t="shared" si="1"/>
        <v>66.666666666666657</v>
      </c>
      <c r="I8" s="23" t="str">
        <f t="shared" si="2"/>
        <v>B</v>
      </c>
      <c r="J8" s="23" t="str">
        <f t="shared" si="3"/>
        <v>No</v>
      </c>
      <c r="K8" s="23" t="str">
        <f t="shared" si="4"/>
        <v>Hiral</v>
      </c>
      <c r="L8" s="23" t="str">
        <f t="shared" si="5"/>
        <v>HIRAL PATEL</v>
      </c>
      <c r="M8" s="23" t="str">
        <f t="shared" si="6"/>
        <v>hiral patel</v>
      </c>
      <c r="N8" s="23">
        <f t="shared" ca="1" si="7"/>
        <v>2078</v>
      </c>
      <c r="O8" s="17"/>
      <c r="P8" s="24">
        <v>1005</v>
      </c>
      <c r="Q8" s="24" t="str">
        <f>VLOOKUP(P8,A2:B21,2,FALSE)</f>
        <v>Dhvni Joshi</v>
      </c>
      <c r="R8" s="17"/>
      <c r="S8" s="17"/>
      <c r="T8" s="17"/>
      <c r="U8" s="17"/>
      <c r="V8" s="17"/>
      <c r="W8" s="17"/>
      <c r="X8" s="17"/>
      <c r="Y8" s="17"/>
      <c r="Z8" s="17"/>
    </row>
    <row r="9" spans="1:26" ht="36" x14ac:dyDescent="0.35">
      <c r="A9" s="20">
        <v>1008</v>
      </c>
      <c r="B9" s="20" t="s">
        <v>19</v>
      </c>
      <c r="C9" s="21">
        <v>94</v>
      </c>
      <c r="D9" s="21">
        <v>67</v>
      </c>
      <c r="E9" s="21">
        <v>64</v>
      </c>
      <c r="F9" s="22">
        <v>44361</v>
      </c>
      <c r="G9" s="23">
        <f t="shared" si="0"/>
        <v>225</v>
      </c>
      <c r="H9" s="23">
        <f t="shared" si="1"/>
        <v>75</v>
      </c>
      <c r="I9" s="23" t="str">
        <f t="shared" si="2"/>
        <v>B</v>
      </c>
      <c r="J9" s="23" t="str">
        <f t="shared" si="3"/>
        <v>No</v>
      </c>
      <c r="K9" s="23" t="str">
        <f t="shared" si="4"/>
        <v>Priya</v>
      </c>
      <c r="L9" s="23" t="str">
        <f t="shared" si="5"/>
        <v>PRIYA SHARMA</v>
      </c>
      <c r="M9" s="23" t="str">
        <f t="shared" si="6"/>
        <v>priya sharma</v>
      </c>
      <c r="N9" s="23">
        <f t="shared" ca="1" si="7"/>
        <v>1898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8" x14ac:dyDescent="0.35">
      <c r="A10" s="20">
        <v>1009</v>
      </c>
      <c r="B10" s="20" t="s">
        <v>20</v>
      </c>
      <c r="C10" s="21">
        <v>41</v>
      </c>
      <c r="D10" s="21">
        <v>75</v>
      </c>
      <c r="E10" s="21">
        <v>56</v>
      </c>
      <c r="F10" s="22">
        <v>44541</v>
      </c>
      <c r="G10" s="23">
        <f t="shared" si="0"/>
        <v>172</v>
      </c>
      <c r="H10" s="23">
        <f t="shared" si="1"/>
        <v>57.333333333333336</v>
      </c>
      <c r="I10" s="23" t="str">
        <f t="shared" si="2"/>
        <v>C</v>
      </c>
      <c r="J10" s="23" t="str">
        <f t="shared" si="3"/>
        <v>No</v>
      </c>
      <c r="K10" s="23" t="str">
        <f t="shared" si="4"/>
        <v>Krish</v>
      </c>
      <c r="L10" s="23" t="str">
        <f t="shared" si="5"/>
        <v>KRISH SHAH</v>
      </c>
      <c r="M10" s="23" t="str">
        <f t="shared" si="6"/>
        <v>krish shah</v>
      </c>
      <c r="N10" s="23">
        <f t="shared" ca="1" si="7"/>
        <v>1718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6" x14ac:dyDescent="0.35">
      <c r="A11" s="20">
        <v>1010</v>
      </c>
      <c r="B11" s="20" t="s">
        <v>21</v>
      </c>
      <c r="C11" s="21">
        <v>98</v>
      </c>
      <c r="D11" s="21">
        <v>54</v>
      </c>
      <c r="E11" s="21">
        <v>58</v>
      </c>
      <c r="F11" s="22">
        <v>44721</v>
      </c>
      <c r="G11" s="23">
        <f t="shared" si="0"/>
        <v>210</v>
      </c>
      <c r="H11" s="23">
        <f t="shared" si="1"/>
        <v>70</v>
      </c>
      <c r="I11" s="23" t="str">
        <f t="shared" si="2"/>
        <v>B</v>
      </c>
      <c r="J11" s="23" t="str">
        <f t="shared" si="3"/>
        <v>No</v>
      </c>
      <c r="K11" s="23" t="str">
        <f t="shared" si="4"/>
        <v>Priyanshu</v>
      </c>
      <c r="L11" s="23" t="str">
        <f t="shared" si="5"/>
        <v>PRIYANSHU VERMA</v>
      </c>
      <c r="M11" s="23" t="str">
        <f t="shared" si="6"/>
        <v>priyanshu verma</v>
      </c>
      <c r="N11" s="23">
        <f t="shared" ca="1" si="7"/>
        <v>1538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6" x14ac:dyDescent="0.35">
      <c r="A12" s="20">
        <v>1011</v>
      </c>
      <c r="B12" s="20" t="s">
        <v>22</v>
      </c>
      <c r="C12" s="21">
        <v>73</v>
      </c>
      <c r="D12" s="21">
        <v>79</v>
      </c>
      <c r="E12" s="21">
        <v>53</v>
      </c>
      <c r="F12" s="22">
        <v>44901</v>
      </c>
      <c r="G12" s="23">
        <f t="shared" si="0"/>
        <v>205</v>
      </c>
      <c r="H12" s="23">
        <f t="shared" si="1"/>
        <v>68.333333333333329</v>
      </c>
      <c r="I12" s="23" t="str">
        <f t="shared" si="2"/>
        <v>B</v>
      </c>
      <c r="J12" s="23" t="str">
        <f t="shared" si="3"/>
        <v>No</v>
      </c>
      <c r="K12" s="23" t="str">
        <f t="shared" si="4"/>
        <v>Rahul</v>
      </c>
      <c r="L12" s="23" t="str">
        <f t="shared" si="5"/>
        <v>RAHUL KUMAR</v>
      </c>
      <c r="M12" s="23" t="str">
        <f t="shared" si="6"/>
        <v>rahul kumar</v>
      </c>
      <c r="N12" s="23">
        <f t="shared" ca="1" si="7"/>
        <v>1358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6" x14ac:dyDescent="0.35">
      <c r="A13" s="20">
        <v>1012</v>
      </c>
      <c r="B13" s="20" t="s">
        <v>23</v>
      </c>
      <c r="C13" s="21">
        <v>85</v>
      </c>
      <c r="D13" s="21">
        <v>89</v>
      </c>
      <c r="E13" s="21">
        <v>79</v>
      </c>
      <c r="F13" s="22">
        <v>45081</v>
      </c>
      <c r="G13" s="23">
        <f t="shared" si="0"/>
        <v>253</v>
      </c>
      <c r="H13" s="23">
        <f t="shared" si="1"/>
        <v>84.333333333333343</v>
      </c>
      <c r="I13" s="23" t="str">
        <f t="shared" si="2"/>
        <v>A</v>
      </c>
      <c r="J13" s="23" t="str">
        <f t="shared" si="3"/>
        <v>Yes</v>
      </c>
      <c r="K13" s="23" t="str">
        <f t="shared" si="4"/>
        <v>Neha</v>
      </c>
      <c r="L13" s="23" t="str">
        <f t="shared" si="5"/>
        <v>NEHA SINGH</v>
      </c>
      <c r="M13" s="23" t="str">
        <f t="shared" si="6"/>
        <v>neha singh</v>
      </c>
      <c r="N13" s="23">
        <f t="shared" ca="1" si="7"/>
        <v>1178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36" x14ac:dyDescent="0.35">
      <c r="A14" s="20">
        <v>1013</v>
      </c>
      <c r="B14" s="20" t="s">
        <v>24</v>
      </c>
      <c r="C14" s="21">
        <v>98</v>
      </c>
      <c r="D14" s="21">
        <v>90</v>
      </c>
      <c r="E14" s="21">
        <v>97</v>
      </c>
      <c r="F14" s="22">
        <v>45261</v>
      </c>
      <c r="G14" s="23">
        <f t="shared" si="0"/>
        <v>285</v>
      </c>
      <c r="H14" s="23">
        <f t="shared" si="1"/>
        <v>95</v>
      </c>
      <c r="I14" s="23" t="str">
        <f t="shared" si="2"/>
        <v>A</v>
      </c>
      <c r="J14" s="23" t="str">
        <f t="shared" si="3"/>
        <v>Yes</v>
      </c>
      <c r="K14" s="23" t="str">
        <f t="shared" si="4"/>
        <v>Aarav</v>
      </c>
      <c r="L14" s="23" t="str">
        <f t="shared" si="5"/>
        <v>AARAV PATEL</v>
      </c>
      <c r="M14" s="23" t="str">
        <f t="shared" si="6"/>
        <v>aarav patel</v>
      </c>
      <c r="N14" s="23">
        <f t="shared" ca="1" si="7"/>
        <v>998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36" x14ac:dyDescent="0.35">
      <c r="A15" s="20">
        <v>1014</v>
      </c>
      <c r="B15" s="20" t="s">
        <v>25</v>
      </c>
      <c r="C15" s="21">
        <v>93</v>
      </c>
      <c r="D15" s="21">
        <v>40</v>
      </c>
      <c r="E15" s="21">
        <v>44</v>
      </c>
      <c r="F15" s="22">
        <v>45441</v>
      </c>
      <c r="G15" s="23">
        <f t="shared" si="0"/>
        <v>177</v>
      </c>
      <c r="H15" s="23">
        <f t="shared" si="1"/>
        <v>59</v>
      </c>
      <c r="I15" s="23" t="str">
        <f t="shared" si="2"/>
        <v>C</v>
      </c>
      <c r="J15" s="23" t="str">
        <f t="shared" si="3"/>
        <v>No</v>
      </c>
      <c r="K15" s="23" t="str">
        <f t="shared" si="4"/>
        <v>Kavya</v>
      </c>
      <c r="L15" s="23" t="str">
        <f t="shared" si="5"/>
        <v>KAVYA SHAH</v>
      </c>
      <c r="M15" s="23" t="str">
        <f t="shared" si="6"/>
        <v>kavya shah</v>
      </c>
      <c r="N15" s="23">
        <f t="shared" ca="1" si="7"/>
        <v>818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36" x14ac:dyDescent="0.35">
      <c r="A16" s="20">
        <v>1015</v>
      </c>
      <c r="B16" s="20" t="s">
        <v>26</v>
      </c>
      <c r="C16" s="21">
        <v>70</v>
      </c>
      <c r="D16" s="21">
        <v>51</v>
      </c>
      <c r="E16" s="21">
        <v>75</v>
      </c>
      <c r="F16" s="22">
        <v>45621</v>
      </c>
      <c r="G16" s="23">
        <f t="shared" si="0"/>
        <v>196</v>
      </c>
      <c r="H16" s="23">
        <f t="shared" si="1"/>
        <v>65.333333333333329</v>
      </c>
      <c r="I16" s="23" t="str">
        <f t="shared" si="2"/>
        <v>B</v>
      </c>
      <c r="J16" s="23" t="str">
        <f t="shared" si="3"/>
        <v>No</v>
      </c>
      <c r="K16" s="23" t="str">
        <f t="shared" si="4"/>
        <v>Rohan</v>
      </c>
      <c r="L16" s="23" t="str">
        <f t="shared" si="5"/>
        <v>ROHAN MEHTA</v>
      </c>
      <c r="M16" s="23" t="str">
        <f t="shared" si="6"/>
        <v>rohan mehta</v>
      </c>
      <c r="N16" s="23">
        <f t="shared" ca="1" si="7"/>
        <v>638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36" x14ac:dyDescent="0.35">
      <c r="A17" s="20">
        <v>1016</v>
      </c>
      <c r="B17" s="20" t="s">
        <v>27</v>
      </c>
      <c r="C17" s="21">
        <v>98</v>
      </c>
      <c r="D17" s="21">
        <v>77</v>
      </c>
      <c r="E17" s="21">
        <v>60</v>
      </c>
      <c r="F17" s="22">
        <v>45801</v>
      </c>
      <c r="G17" s="23">
        <f t="shared" si="0"/>
        <v>235</v>
      </c>
      <c r="H17" s="23">
        <f t="shared" si="1"/>
        <v>78.333333333333329</v>
      </c>
      <c r="I17" s="23" t="str">
        <f t="shared" si="2"/>
        <v>B</v>
      </c>
      <c r="J17" s="23" t="str">
        <f t="shared" si="3"/>
        <v>No</v>
      </c>
      <c r="K17" s="23" t="str">
        <f t="shared" si="4"/>
        <v>Ananya</v>
      </c>
      <c r="L17" s="23" t="str">
        <f t="shared" si="5"/>
        <v>ANANYA DESAI</v>
      </c>
      <c r="M17" s="23" t="str">
        <f t="shared" si="6"/>
        <v>ananya desai</v>
      </c>
      <c r="N17" s="23">
        <f t="shared" ca="1" si="7"/>
        <v>458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36" x14ac:dyDescent="0.35">
      <c r="A18" s="20">
        <v>1017</v>
      </c>
      <c r="B18" s="20" t="s">
        <v>28</v>
      </c>
      <c r="C18" s="21">
        <v>66</v>
      </c>
      <c r="D18" s="21">
        <v>59</v>
      </c>
      <c r="E18" s="21">
        <v>40</v>
      </c>
      <c r="F18" s="22">
        <v>45981</v>
      </c>
      <c r="G18" s="23">
        <f t="shared" si="0"/>
        <v>165</v>
      </c>
      <c r="H18" s="23">
        <f t="shared" si="1"/>
        <v>55.000000000000007</v>
      </c>
      <c r="I18" s="23" t="str">
        <f t="shared" si="2"/>
        <v>C</v>
      </c>
      <c r="J18" s="23" t="str">
        <f t="shared" si="3"/>
        <v>No</v>
      </c>
      <c r="K18" s="23" t="str">
        <f t="shared" si="4"/>
        <v>Arjun</v>
      </c>
      <c r="L18" s="23" t="str">
        <f t="shared" si="5"/>
        <v>ARJUN JOSHI</v>
      </c>
      <c r="M18" s="23" t="str">
        <f t="shared" si="6"/>
        <v>arjun joshi</v>
      </c>
      <c r="N18" s="23">
        <f t="shared" ca="1" si="7"/>
        <v>278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" x14ac:dyDescent="0.35">
      <c r="A19" s="20">
        <v>1018</v>
      </c>
      <c r="B19" s="20" t="s">
        <v>29</v>
      </c>
      <c r="C19" s="21">
        <v>82</v>
      </c>
      <c r="D19" s="21">
        <v>48</v>
      </c>
      <c r="E19" s="21">
        <v>79</v>
      </c>
      <c r="F19" s="22">
        <v>46161</v>
      </c>
      <c r="G19" s="23">
        <f t="shared" si="0"/>
        <v>209</v>
      </c>
      <c r="H19" s="23">
        <f t="shared" si="1"/>
        <v>69.666666666666671</v>
      </c>
      <c r="I19" s="23" t="str">
        <f t="shared" si="2"/>
        <v>B</v>
      </c>
      <c r="J19" s="23" t="str">
        <f t="shared" si="3"/>
        <v>No</v>
      </c>
      <c r="K19" s="23" t="str">
        <f t="shared" si="4"/>
        <v>Diya</v>
      </c>
      <c r="L19" s="23" t="str">
        <f t="shared" si="5"/>
        <v>DIYA PATEL</v>
      </c>
      <c r="M19" s="23" t="str">
        <f t="shared" si="6"/>
        <v>diya patel</v>
      </c>
      <c r="N19" s="23">
        <f t="shared" ca="1" si="7"/>
        <v>98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36" x14ac:dyDescent="0.35">
      <c r="A20" s="20">
        <v>1019</v>
      </c>
      <c r="B20" s="20" t="s">
        <v>30</v>
      </c>
      <c r="C20" s="21">
        <v>90</v>
      </c>
      <c r="D20" s="21">
        <v>78</v>
      </c>
      <c r="E20" s="21">
        <v>60</v>
      </c>
      <c r="F20" s="22">
        <v>46341</v>
      </c>
      <c r="G20" s="23">
        <f t="shared" si="0"/>
        <v>228</v>
      </c>
      <c r="H20" s="23">
        <f t="shared" si="1"/>
        <v>76</v>
      </c>
      <c r="I20" s="23" t="str">
        <f t="shared" si="2"/>
        <v>B</v>
      </c>
      <c r="J20" s="23" t="str">
        <f t="shared" si="3"/>
        <v>No</v>
      </c>
      <c r="K20" s="23" t="str">
        <f t="shared" si="4"/>
        <v>Vivaan</v>
      </c>
      <c r="L20" s="23" t="str">
        <f t="shared" si="5"/>
        <v>VIVAAN SHAH</v>
      </c>
      <c r="M20" s="23" t="str">
        <f t="shared" si="6"/>
        <v>vivaan shah</v>
      </c>
      <c r="N20" s="23">
        <f t="shared" ca="1" si="7"/>
        <v>-82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36" x14ac:dyDescent="0.35">
      <c r="A21" s="20">
        <v>1020</v>
      </c>
      <c r="B21" s="20" t="s">
        <v>31</v>
      </c>
      <c r="C21" s="21">
        <v>83</v>
      </c>
      <c r="D21" s="21">
        <v>92</v>
      </c>
      <c r="E21" s="21">
        <v>55</v>
      </c>
      <c r="F21" s="22">
        <v>46521</v>
      </c>
      <c r="G21" s="23">
        <f t="shared" si="0"/>
        <v>230</v>
      </c>
      <c r="H21" s="23">
        <f t="shared" si="1"/>
        <v>76.666666666666671</v>
      </c>
      <c r="I21" s="23" t="str">
        <f t="shared" si="2"/>
        <v>B</v>
      </c>
      <c r="J21" s="23" t="str">
        <f t="shared" si="3"/>
        <v>Yes</v>
      </c>
      <c r="K21" s="23" t="str">
        <f t="shared" si="4"/>
        <v>Riya</v>
      </c>
      <c r="L21" s="23" t="str">
        <f t="shared" si="5"/>
        <v>RIYA MEHTA</v>
      </c>
      <c r="M21" s="23" t="str">
        <f t="shared" si="6"/>
        <v>riya mehta</v>
      </c>
      <c r="N21" s="23">
        <f t="shared" ca="1" si="7"/>
        <v>-262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</sheetData>
  <conditionalFormatting sqref="S7">
    <cfRule type="expression" dxfId="5" priority="3">
      <formula>MOD(ROW(),2)=0</formula>
    </cfRule>
  </conditionalFormatting>
  <conditionalFormatting sqref="A2:N21">
    <cfRule type="expression" dxfId="4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083B-CDE6-4DEE-9FC5-99FAF36E0BEA}">
  <dimension ref="A1:V21"/>
  <sheetViews>
    <sheetView zoomScale="62" zoomScaleNormal="100" workbookViewId="0">
      <selection activeCell="AB1" sqref="AB1"/>
    </sheetView>
  </sheetViews>
  <sheetFormatPr defaultRowHeight="14.4" x14ac:dyDescent="0.3"/>
  <cols>
    <col min="1" max="1" width="9" bestFit="1" customWidth="1"/>
    <col min="5" max="5" width="9" bestFit="1" customWidth="1"/>
    <col min="6" max="6" width="18.109375" customWidth="1"/>
    <col min="9" max="9" width="9" bestFit="1" customWidth="1"/>
    <col min="11" max="11" width="9" bestFit="1" customWidth="1"/>
    <col min="13" max="13" width="9" bestFit="1" customWidth="1"/>
    <col min="15" max="16" width="9" bestFit="1" customWidth="1"/>
    <col min="18" max="19" width="9" bestFit="1" customWidth="1"/>
  </cols>
  <sheetData>
    <row r="1" spans="1:22" ht="62.4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73</v>
      </c>
      <c r="H1" s="10" t="s">
        <v>74</v>
      </c>
      <c r="I1" s="14" t="s">
        <v>122</v>
      </c>
      <c r="J1" s="14" t="s">
        <v>123</v>
      </c>
      <c r="K1" s="14" t="s">
        <v>124</v>
      </c>
      <c r="L1" s="12" t="s">
        <v>75</v>
      </c>
      <c r="M1" s="4" t="s">
        <v>76</v>
      </c>
      <c r="N1" s="4" t="s">
        <v>77</v>
      </c>
      <c r="O1" s="4" t="s">
        <v>78</v>
      </c>
      <c r="P1" s="4" t="s">
        <v>80</v>
      </c>
      <c r="Q1" s="4" t="s">
        <v>81</v>
      </c>
      <c r="R1" s="4" t="s">
        <v>80</v>
      </c>
      <c r="S1" s="4" t="s">
        <v>83</v>
      </c>
      <c r="T1" s="4" t="s">
        <v>84</v>
      </c>
      <c r="U1" s="4" t="s">
        <v>86</v>
      </c>
      <c r="V1" s="4" t="s">
        <v>87</v>
      </c>
    </row>
    <row r="2" spans="1:22" ht="31.2" x14ac:dyDescent="0.3">
      <c r="A2" s="1">
        <v>2001</v>
      </c>
      <c r="B2" s="1" t="s">
        <v>44</v>
      </c>
      <c r="C2" s="1" t="s">
        <v>45</v>
      </c>
      <c r="D2" s="1" t="s">
        <v>46</v>
      </c>
      <c r="E2" s="1">
        <v>7048</v>
      </c>
      <c r="F2" s="2">
        <v>44927</v>
      </c>
      <c r="G2" s="3" t="str">
        <f>IF(E2&gt;=40000,"20%",IF(E2&gt;=20000,"10%","5%"))</f>
        <v>5%</v>
      </c>
      <c r="H2" s="11" t="str">
        <f>IF(OR(B2="Keyboard",E2&gt;3000),"Eligible","Not Eligible")</f>
        <v>Eligible</v>
      </c>
      <c r="I2" s="9">
        <f t="shared" ref="I2:I21" si="0">ROUND(E2,-2)</f>
        <v>7000</v>
      </c>
      <c r="J2" s="9">
        <f t="shared" ref="J2:J21" si="1">CEILING(E2,100)</f>
        <v>7100</v>
      </c>
      <c r="K2" s="9">
        <f t="shared" ref="K2:K21" si="2">FLOOR(E2,100)</f>
        <v>7000</v>
      </c>
      <c r="L2" s="13">
        <f>SUMIFS(E2:E21,C2:C21,"East",B2:B21,"Keyboard")</f>
        <v>80349</v>
      </c>
      <c r="M2" s="3" t="s">
        <v>44</v>
      </c>
      <c r="N2" s="3">
        <f>_xlfn.XLOOKUP("*"&amp;M2&amp;"*",$B$2:$B$21,$E$2:$E$21,"Not Found",2)</f>
        <v>7048</v>
      </c>
      <c r="O2" s="3" t="s">
        <v>79</v>
      </c>
      <c r="P2" s="3">
        <f>INDEX(E2:E21,MATCH(O2,D2:D21,0))</f>
        <v>35185</v>
      </c>
      <c r="Q2" s="3" t="s">
        <v>82</v>
      </c>
      <c r="R2" s="3">
        <f>_xlfn.XLOOKUP(Q2,D2:D21,E2:E21,"Not found")</f>
        <v>15678</v>
      </c>
      <c r="S2" s="3">
        <f>_xlfn.XMATCH("mouse",B2:B21)</f>
        <v>3</v>
      </c>
      <c r="T2" s="3" t="s">
        <v>85</v>
      </c>
      <c r="U2" s="3" cm="1">
        <f t="array" aca="1" ref="U2" ca="1">INDIRECT(T2)</f>
        <v>5264</v>
      </c>
      <c r="V2" s="3">
        <f ca="1">SUM(OFFSET(E1,1,0,5,1))</f>
        <v>96800</v>
      </c>
    </row>
    <row r="3" spans="1:22" ht="31.2" x14ac:dyDescent="0.3">
      <c r="A3" s="1">
        <v>2002</v>
      </c>
      <c r="B3" s="1" t="s">
        <v>47</v>
      </c>
      <c r="C3" s="1" t="s">
        <v>48</v>
      </c>
      <c r="D3" s="1" t="s">
        <v>49</v>
      </c>
      <c r="E3" s="1">
        <v>17428</v>
      </c>
      <c r="F3" s="2">
        <v>44942</v>
      </c>
      <c r="G3" s="3" t="str">
        <f t="shared" ref="G3:G21" si="3">IF(E3&gt;=40000,"20%",IF(E3&gt;=20000,"10%","5%"))</f>
        <v>5%</v>
      </c>
      <c r="H3" s="11" t="str">
        <f t="shared" ref="H3:H21" si="4">IF(OR(B3="Keyboard",E3&gt;3000),"Eligible","Not Eligible")</f>
        <v>Eligible</v>
      </c>
      <c r="I3" s="9">
        <f t="shared" si="0"/>
        <v>17400</v>
      </c>
      <c r="J3" s="9">
        <f t="shared" si="1"/>
        <v>17500</v>
      </c>
      <c r="K3" s="9">
        <f t="shared" si="2"/>
        <v>17400</v>
      </c>
      <c r="L3" s="1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31.2" x14ac:dyDescent="0.3">
      <c r="A4" s="1">
        <v>2003</v>
      </c>
      <c r="B4" s="1" t="s">
        <v>50</v>
      </c>
      <c r="C4" s="1" t="s">
        <v>45</v>
      </c>
      <c r="D4" s="1" t="s">
        <v>51</v>
      </c>
      <c r="E4" s="1">
        <v>23672</v>
      </c>
      <c r="F4" s="2">
        <v>44957</v>
      </c>
      <c r="G4" s="3" t="str">
        <f t="shared" si="3"/>
        <v>10%</v>
      </c>
      <c r="H4" s="11" t="str">
        <f t="shared" si="4"/>
        <v>Eligible</v>
      </c>
      <c r="I4" s="9">
        <f t="shared" si="0"/>
        <v>23700</v>
      </c>
      <c r="J4" s="9">
        <f t="shared" si="1"/>
        <v>23700</v>
      </c>
      <c r="K4" s="9">
        <f t="shared" si="2"/>
        <v>23600</v>
      </c>
      <c r="L4" s="1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31.2" x14ac:dyDescent="0.3">
      <c r="A5" s="1">
        <v>2004</v>
      </c>
      <c r="B5" s="1" t="s">
        <v>47</v>
      </c>
      <c r="C5" s="1" t="s">
        <v>52</v>
      </c>
      <c r="D5" s="1" t="s">
        <v>53</v>
      </c>
      <c r="E5" s="1">
        <v>5264</v>
      </c>
      <c r="F5" s="2">
        <v>44972</v>
      </c>
      <c r="G5" s="3" t="str">
        <f t="shared" si="3"/>
        <v>5%</v>
      </c>
      <c r="H5" s="11" t="str">
        <f t="shared" si="4"/>
        <v>Eligible</v>
      </c>
      <c r="I5" s="9">
        <f t="shared" si="0"/>
        <v>5300</v>
      </c>
      <c r="J5" s="9">
        <f t="shared" si="1"/>
        <v>5300</v>
      </c>
      <c r="K5" s="9">
        <f t="shared" si="2"/>
        <v>5200</v>
      </c>
      <c r="L5" s="1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31.2" x14ac:dyDescent="0.3">
      <c r="A6" s="1">
        <v>2005</v>
      </c>
      <c r="B6" s="1" t="s">
        <v>44</v>
      </c>
      <c r="C6" s="1" t="s">
        <v>54</v>
      </c>
      <c r="D6" s="1" t="s">
        <v>55</v>
      </c>
      <c r="E6" s="1">
        <v>43388</v>
      </c>
      <c r="F6" s="2">
        <v>44987</v>
      </c>
      <c r="G6" s="3" t="str">
        <f t="shared" si="3"/>
        <v>20%</v>
      </c>
      <c r="H6" s="11" t="str">
        <f t="shared" si="4"/>
        <v>Eligible</v>
      </c>
      <c r="I6" s="9">
        <f t="shared" si="0"/>
        <v>43400</v>
      </c>
      <c r="J6" s="9">
        <f t="shared" si="1"/>
        <v>43400</v>
      </c>
      <c r="K6" s="9">
        <f t="shared" si="2"/>
        <v>43300</v>
      </c>
      <c r="L6" s="1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31.2" x14ac:dyDescent="0.3">
      <c r="A7" s="1">
        <v>2006</v>
      </c>
      <c r="B7" s="1" t="s">
        <v>50</v>
      </c>
      <c r="C7" s="1" t="s">
        <v>54</v>
      </c>
      <c r="D7" s="1" t="s">
        <v>56</v>
      </c>
      <c r="E7" s="1">
        <v>19757</v>
      </c>
      <c r="F7" s="2">
        <v>45002</v>
      </c>
      <c r="G7" s="3" t="str">
        <f t="shared" si="3"/>
        <v>5%</v>
      </c>
      <c r="H7" s="11" t="str">
        <f t="shared" si="4"/>
        <v>Eligible</v>
      </c>
      <c r="I7" s="9">
        <f t="shared" si="0"/>
        <v>19800</v>
      </c>
      <c r="J7" s="9">
        <f t="shared" si="1"/>
        <v>19800</v>
      </c>
      <c r="K7" s="9">
        <f t="shared" si="2"/>
        <v>19700</v>
      </c>
      <c r="L7" s="1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31.2" x14ac:dyDescent="0.3">
      <c r="A8" s="1">
        <v>2007</v>
      </c>
      <c r="B8" s="1" t="s">
        <v>50</v>
      </c>
      <c r="C8" s="1" t="s">
        <v>52</v>
      </c>
      <c r="D8" s="1" t="s">
        <v>57</v>
      </c>
      <c r="E8" s="1">
        <v>32058</v>
      </c>
      <c r="F8" s="2">
        <v>45017</v>
      </c>
      <c r="G8" s="3" t="str">
        <f t="shared" si="3"/>
        <v>10%</v>
      </c>
      <c r="H8" s="11" t="str">
        <f t="shared" si="4"/>
        <v>Eligible</v>
      </c>
      <c r="I8" s="9">
        <f t="shared" si="0"/>
        <v>32100</v>
      </c>
      <c r="J8" s="9">
        <f t="shared" si="1"/>
        <v>32100</v>
      </c>
      <c r="K8" s="9">
        <f t="shared" si="2"/>
        <v>32000</v>
      </c>
      <c r="L8" s="1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31.2" x14ac:dyDescent="0.3">
      <c r="A9" s="1">
        <v>2008</v>
      </c>
      <c r="B9" s="1" t="s">
        <v>44</v>
      </c>
      <c r="C9" s="1" t="s">
        <v>52</v>
      </c>
      <c r="D9" s="1" t="s">
        <v>58</v>
      </c>
      <c r="E9" s="1">
        <v>46429</v>
      </c>
      <c r="F9" s="2">
        <v>45032</v>
      </c>
      <c r="G9" s="3" t="str">
        <f t="shared" si="3"/>
        <v>20%</v>
      </c>
      <c r="H9" s="11" t="str">
        <f t="shared" si="4"/>
        <v>Eligible</v>
      </c>
      <c r="I9" s="9">
        <f t="shared" si="0"/>
        <v>46400</v>
      </c>
      <c r="J9" s="9">
        <f t="shared" si="1"/>
        <v>46500</v>
      </c>
      <c r="K9" s="9">
        <f t="shared" si="2"/>
        <v>46400</v>
      </c>
      <c r="L9" s="1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31.2" x14ac:dyDescent="0.3">
      <c r="A10" s="1">
        <v>2009</v>
      </c>
      <c r="B10" s="1" t="s">
        <v>47</v>
      </c>
      <c r="C10" s="1" t="s">
        <v>52</v>
      </c>
      <c r="D10" s="1" t="s">
        <v>59</v>
      </c>
      <c r="E10" s="1">
        <v>19746</v>
      </c>
      <c r="F10" s="2">
        <v>45047</v>
      </c>
      <c r="G10" s="3" t="str">
        <f t="shared" si="3"/>
        <v>5%</v>
      </c>
      <c r="H10" s="11" t="str">
        <f t="shared" si="4"/>
        <v>Eligible</v>
      </c>
      <c r="I10" s="9">
        <f t="shared" si="0"/>
        <v>19700</v>
      </c>
      <c r="J10" s="9">
        <f t="shared" si="1"/>
        <v>19800</v>
      </c>
      <c r="K10" s="9">
        <f t="shared" si="2"/>
        <v>19700</v>
      </c>
      <c r="L10" s="1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1.2" x14ac:dyDescent="0.3">
      <c r="A11" s="1">
        <v>2010</v>
      </c>
      <c r="B11" s="1" t="s">
        <v>44</v>
      </c>
      <c r="C11" s="1" t="s">
        <v>45</v>
      </c>
      <c r="D11" s="1" t="s">
        <v>60</v>
      </c>
      <c r="E11" s="1">
        <v>35185</v>
      </c>
      <c r="F11" s="2">
        <v>45062</v>
      </c>
      <c r="G11" s="3" t="str">
        <f t="shared" si="3"/>
        <v>10%</v>
      </c>
      <c r="H11" s="11" t="str">
        <f t="shared" si="4"/>
        <v>Eligible</v>
      </c>
      <c r="I11" s="9">
        <f t="shared" si="0"/>
        <v>35200</v>
      </c>
      <c r="J11" s="9">
        <f t="shared" si="1"/>
        <v>35200</v>
      </c>
      <c r="K11" s="9">
        <f t="shared" si="2"/>
        <v>35100</v>
      </c>
      <c r="L11" s="1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31.2" x14ac:dyDescent="0.3">
      <c r="A12" s="1">
        <v>2011</v>
      </c>
      <c r="B12" s="1" t="s">
        <v>44</v>
      </c>
      <c r="C12" s="1" t="s">
        <v>52</v>
      </c>
      <c r="D12" s="1" t="s">
        <v>61</v>
      </c>
      <c r="E12" s="1">
        <v>33920</v>
      </c>
      <c r="F12" s="2">
        <v>45077</v>
      </c>
      <c r="G12" s="3" t="str">
        <f t="shared" si="3"/>
        <v>10%</v>
      </c>
      <c r="H12" s="11" t="str">
        <f t="shared" si="4"/>
        <v>Eligible</v>
      </c>
      <c r="I12" s="9">
        <f t="shared" si="0"/>
        <v>33900</v>
      </c>
      <c r="J12" s="9">
        <f t="shared" si="1"/>
        <v>34000</v>
      </c>
      <c r="K12" s="9">
        <f t="shared" si="2"/>
        <v>33900</v>
      </c>
      <c r="L12" s="1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31.2" x14ac:dyDescent="0.3">
      <c r="A13" s="1">
        <v>2012</v>
      </c>
      <c r="B13" s="1" t="s">
        <v>62</v>
      </c>
      <c r="C13" s="1" t="s">
        <v>54</v>
      </c>
      <c r="D13" s="1" t="s">
        <v>63</v>
      </c>
      <c r="E13" s="1">
        <v>35611</v>
      </c>
      <c r="F13" s="2">
        <v>45092</v>
      </c>
      <c r="G13" s="3" t="str">
        <f t="shared" si="3"/>
        <v>10%</v>
      </c>
      <c r="H13" s="11" t="str">
        <f t="shared" si="4"/>
        <v>Eligible</v>
      </c>
      <c r="I13" s="9">
        <f t="shared" si="0"/>
        <v>35600</v>
      </c>
      <c r="J13" s="9">
        <f t="shared" si="1"/>
        <v>35700</v>
      </c>
      <c r="K13" s="9">
        <f t="shared" si="2"/>
        <v>35600</v>
      </c>
      <c r="L13" s="1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31.2" x14ac:dyDescent="0.3">
      <c r="A14" s="1">
        <v>2013</v>
      </c>
      <c r="B14" s="1" t="s">
        <v>64</v>
      </c>
      <c r="C14" s="1" t="s">
        <v>52</v>
      </c>
      <c r="D14" s="1" t="s">
        <v>65</v>
      </c>
      <c r="E14" s="1">
        <v>15560</v>
      </c>
      <c r="F14" s="2">
        <v>45107</v>
      </c>
      <c r="G14" s="3" t="str">
        <f t="shared" si="3"/>
        <v>5%</v>
      </c>
      <c r="H14" s="11" t="str">
        <f t="shared" si="4"/>
        <v>Eligible</v>
      </c>
      <c r="I14" s="9">
        <f t="shared" si="0"/>
        <v>15600</v>
      </c>
      <c r="J14" s="9">
        <f t="shared" si="1"/>
        <v>15600</v>
      </c>
      <c r="K14" s="9">
        <f t="shared" si="2"/>
        <v>15500</v>
      </c>
      <c r="L14" s="1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31.2" x14ac:dyDescent="0.3">
      <c r="A15" s="1">
        <v>2014</v>
      </c>
      <c r="B15" s="1" t="s">
        <v>64</v>
      </c>
      <c r="C15" s="1" t="s">
        <v>45</v>
      </c>
      <c r="D15" s="1" t="s">
        <v>66</v>
      </c>
      <c r="E15" s="1">
        <v>7283</v>
      </c>
      <c r="F15" s="2">
        <v>45122</v>
      </c>
      <c r="G15" s="3" t="str">
        <f t="shared" si="3"/>
        <v>5%</v>
      </c>
      <c r="H15" s="11" t="str">
        <f t="shared" si="4"/>
        <v>Eligible</v>
      </c>
      <c r="I15" s="9">
        <f t="shared" si="0"/>
        <v>7300</v>
      </c>
      <c r="J15" s="9">
        <f t="shared" si="1"/>
        <v>7300</v>
      </c>
      <c r="K15" s="9">
        <f t="shared" si="2"/>
        <v>7200</v>
      </c>
      <c r="L15" s="1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31.2" x14ac:dyDescent="0.3">
      <c r="A16" s="1">
        <v>2015</v>
      </c>
      <c r="B16" s="1" t="s">
        <v>64</v>
      </c>
      <c r="C16" s="1" t="s">
        <v>52</v>
      </c>
      <c r="D16" s="1" t="s">
        <v>67</v>
      </c>
      <c r="E16" s="1">
        <v>15678</v>
      </c>
      <c r="F16" s="2">
        <v>45137</v>
      </c>
      <c r="G16" s="3" t="str">
        <f t="shared" si="3"/>
        <v>5%</v>
      </c>
      <c r="H16" s="11" t="str">
        <f t="shared" si="4"/>
        <v>Eligible</v>
      </c>
      <c r="I16" s="9">
        <f t="shared" si="0"/>
        <v>15700</v>
      </c>
      <c r="J16" s="9">
        <f t="shared" si="1"/>
        <v>15700</v>
      </c>
      <c r="K16" s="9">
        <f t="shared" si="2"/>
        <v>15600</v>
      </c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31.2" x14ac:dyDescent="0.3">
      <c r="A17" s="1">
        <v>2016</v>
      </c>
      <c r="B17" s="1" t="s">
        <v>50</v>
      </c>
      <c r="C17" s="1" t="s">
        <v>52</v>
      </c>
      <c r="D17" s="1" t="s">
        <v>68</v>
      </c>
      <c r="E17" s="1">
        <v>5277</v>
      </c>
      <c r="F17" s="2">
        <v>45152</v>
      </c>
      <c r="G17" s="3" t="str">
        <f t="shared" si="3"/>
        <v>5%</v>
      </c>
      <c r="H17" s="11" t="str">
        <f t="shared" si="4"/>
        <v>Eligible</v>
      </c>
      <c r="I17" s="9">
        <f t="shared" si="0"/>
        <v>5300</v>
      </c>
      <c r="J17" s="9">
        <f t="shared" si="1"/>
        <v>5300</v>
      </c>
      <c r="K17" s="9">
        <f t="shared" si="2"/>
        <v>5200</v>
      </c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31.2" x14ac:dyDescent="0.3">
      <c r="A18" s="1">
        <v>2017</v>
      </c>
      <c r="B18" s="1" t="s">
        <v>117</v>
      </c>
      <c r="C18" s="1" t="s">
        <v>54</v>
      </c>
      <c r="D18" s="1" t="s">
        <v>69</v>
      </c>
      <c r="E18" s="1">
        <v>41871</v>
      </c>
      <c r="F18" s="2">
        <v>45167</v>
      </c>
      <c r="G18" s="3" t="str">
        <f t="shared" si="3"/>
        <v>20%</v>
      </c>
      <c r="H18" s="11" t="str">
        <f t="shared" si="4"/>
        <v>Eligible</v>
      </c>
      <c r="I18" s="9">
        <f t="shared" si="0"/>
        <v>41900</v>
      </c>
      <c r="J18" s="9">
        <f t="shared" si="1"/>
        <v>41900</v>
      </c>
      <c r="K18" s="9">
        <f t="shared" si="2"/>
        <v>41800</v>
      </c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31.2" x14ac:dyDescent="0.3">
      <c r="A19" s="1">
        <v>2018</v>
      </c>
      <c r="B19" s="1" t="s">
        <v>62</v>
      </c>
      <c r="C19" s="1" t="s">
        <v>48</v>
      </c>
      <c r="D19" s="1" t="s">
        <v>70</v>
      </c>
      <c r="E19" s="1">
        <v>38161</v>
      </c>
      <c r="F19" s="2">
        <v>45182</v>
      </c>
      <c r="G19" s="3" t="str">
        <f t="shared" si="3"/>
        <v>10%</v>
      </c>
      <c r="H19" s="11" t="str">
        <f t="shared" si="4"/>
        <v>Eligible</v>
      </c>
      <c r="I19" s="9">
        <f t="shared" si="0"/>
        <v>38200</v>
      </c>
      <c r="J19" s="9">
        <f t="shared" si="1"/>
        <v>38200</v>
      </c>
      <c r="K19" s="9">
        <f t="shared" si="2"/>
        <v>38100</v>
      </c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31.2" x14ac:dyDescent="0.3">
      <c r="A20" s="1">
        <v>2019</v>
      </c>
      <c r="B20" s="1" t="s">
        <v>50</v>
      </c>
      <c r="C20" s="1" t="s">
        <v>48</v>
      </c>
      <c r="D20" s="1" t="s">
        <v>71</v>
      </c>
      <c r="E20" s="1">
        <v>30436</v>
      </c>
      <c r="F20" s="2">
        <v>45197</v>
      </c>
      <c r="G20" s="3" t="str">
        <f t="shared" si="3"/>
        <v>10%</v>
      </c>
      <c r="H20" s="11" t="str">
        <f t="shared" si="4"/>
        <v>Eligible</v>
      </c>
      <c r="I20" s="9">
        <f t="shared" si="0"/>
        <v>30400</v>
      </c>
      <c r="J20" s="9">
        <f t="shared" si="1"/>
        <v>30500</v>
      </c>
      <c r="K20" s="9">
        <f t="shared" si="2"/>
        <v>30400</v>
      </c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31.2" x14ac:dyDescent="0.3">
      <c r="A21" s="1">
        <v>2020</v>
      </c>
      <c r="B21" s="1" t="s">
        <v>47</v>
      </c>
      <c r="C21" s="1" t="s">
        <v>48</v>
      </c>
      <c r="D21" s="1" t="s">
        <v>72</v>
      </c>
      <c r="E21" s="1">
        <v>33953</v>
      </c>
      <c r="F21" s="2">
        <v>45212</v>
      </c>
      <c r="G21" s="3" t="str">
        <f t="shared" si="3"/>
        <v>10%</v>
      </c>
      <c r="H21" s="11" t="str">
        <f t="shared" si="4"/>
        <v>Eligible</v>
      </c>
      <c r="I21" s="9">
        <f t="shared" si="0"/>
        <v>34000</v>
      </c>
      <c r="J21" s="9">
        <f t="shared" si="1"/>
        <v>34000</v>
      </c>
      <c r="K21" s="9">
        <f t="shared" si="2"/>
        <v>33900</v>
      </c>
      <c r="L21" s="13"/>
      <c r="M21" s="3"/>
      <c r="N21" s="3"/>
      <c r="O21" s="3"/>
      <c r="P21" s="3"/>
      <c r="Q21" s="3"/>
      <c r="R21" s="3"/>
      <c r="S21" s="3"/>
      <c r="T21" s="3"/>
      <c r="U21" s="3"/>
      <c r="V21" s="3"/>
    </row>
  </sheetData>
  <conditionalFormatting sqref="A2:H21 L2:V21">
    <cfRule type="expression" dxfId="3" priority="2">
      <formula>MOD(ROW(),2)=1</formula>
    </cfRule>
    <cfRule type="expression" priority="4">
      <formula>MOD(ROW(),2)=0</formula>
    </cfRule>
  </conditionalFormatting>
  <conditionalFormatting sqref="I2:K21">
    <cfRule type="expression" dxfId="2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B922-CFC9-4307-8F84-19D09899D6EF}">
  <dimension ref="A1:I21"/>
  <sheetViews>
    <sheetView zoomScale="72" workbookViewId="0">
      <selection activeCell="Q10" sqref="Q10"/>
    </sheetView>
  </sheetViews>
  <sheetFormatPr defaultRowHeight="14.4" x14ac:dyDescent="0.3"/>
  <cols>
    <col min="1" max="1" width="9" bestFit="1" customWidth="1"/>
    <col min="4" max="4" width="11.5546875" bestFit="1" customWidth="1"/>
    <col min="5" max="5" width="18.88671875" customWidth="1"/>
    <col min="7" max="8" width="9" bestFit="1" customWidth="1"/>
    <col min="9" max="9" width="9.88671875" bestFit="1" customWidth="1"/>
  </cols>
  <sheetData>
    <row r="1" spans="1:9" ht="62.4" x14ac:dyDescent="0.3">
      <c r="A1" s="4" t="s">
        <v>88</v>
      </c>
      <c r="B1" s="4" t="s">
        <v>1</v>
      </c>
      <c r="C1" s="4" t="s">
        <v>89</v>
      </c>
      <c r="D1" s="5" t="s">
        <v>90</v>
      </c>
      <c r="E1" s="4" t="s">
        <v>91</v>
      </c>
      <c r="F1" s="4" t="s">
        <v>119</v>
      </c>
      <c r="G1" s="4" t="s">
        <v>120</v>
      </c>
      <c r="H1" s="4" t="s">
        <v>118</v>
      </c>
      <c r="I1" s="4" t="s">
        <v>116</v>
      </c>
    </row>
    <row r="2" spans="1:9" ht="31.2" x14ac:dyDescent="0.3">
      <c r="A2" s="1">
        <v>3001</v>
      </c>
      <c r="B2" s="1" t="s">
        <v>92</v>
      </c>
      <c r="C2" s="1" t="s">
        <v>93</v>
      </c>
      <c r="D2" s="6">
        <v>86766</v>
      </c>
      <c r="E2" s="2">
        <v>42005</v>
      </c>
      <c r="F2" s="3" t="str">
        <f>TEXT(E2,"DD-MM-YYYY")</f>
        <v>01-01-2015</v>
      </c>
      <c r="G2" s="3">
        <f ca="1">IF(E2&gt;TODAY(),0,DATEDIF(E2,TODAY(),"Y"))</f>
        <v>11</v>
      </c>
      <c r="H2" s="7">
        <v>3005</v>
      </c>
      <c r="I2" s="8">
        <f>_xlfn.XLOOKUP(H2,A2:A21,D2:D21,"Not Found")</f>
        <v>54149</v>
      </c>
    </row>
    <row r="3" spans="1:9" ht="31.2" x14ac:dyDescent="0.3">
      <c r="A3" s="1">
        <v>3002</v>
      </c>
      <c r="B3" s="1" t="s">
        <v>94</v>
      </c>
      <c r="C3" s="1" t="s">
        <v>93</v>
      </c>
      <c r="D3" s="6">
        <v>31943</v>
      </c>
      <c r="E3" s="2">
        <v>42255</v>
      </c>
      <c r="F3" s="3" t="str">
        <f t="shared" ref="F3:F21" si="0">TEXT(E3,"DD-MM-YYYY")</f>
        <v>08-09-2015</v>
      </c>
      <c r="G3" s="3">
        <f t="shared" ref="G3:G21" ca="1" si="1">IF(E3&gt;TODAY(),0,DATEDIF(E3,TODAY(),"Y"))</f>
        <v>10</v>
      </c>
      <c r="H3" s="3"/>
      <c r="I3" s="3"/>
    </row>
    <row r="4" spans="1:9" ht="31.2" x14ac:dyDescent="0.3">
      <c r="A4" s="1">
        <v>3003</v>
      </c>
      <c r="B4" s="1" t="s">
        <v>95</v>
      </c>
      <c r="C4" s="1" t="s">
        <v>96</v>
      </c>
      <c r="D4" s="6">
        <v>63374</v>
      </c>
      <c r="E4" s="2">
        <v>42505</v>
      </c>
      <c r="F4" s="3" t="str">
        <f t="shared" si="0"/>
        <v>15-05-2016</v>
      </c>
      <c r="G4" s="3">
        <f t="shared" ca="1" si="1"/>
        <v>10</v>
      </c>
      <c r="H4" s="3"/>
      <c r="I4" s="3"/>
    </row>
    <row r="5" spans="1:9" ht="31.2" x14ac:dyDescent="0.3">
      <c r="A5" s="1">
        <v>3004</v>
      </c>
      <c r="B5" s="1" t="s">
        <v>97</v>
      </c>
      <c r="C5" s="1" t="s">
        <v>93</v>
      </c>
      <c r="D5" s="6">
        <v>109972</v>
      </c>
      <c r="E5" s="2">
        <v>42755</v>
      </c>
      <c r="F5" s="3" t="str">
        <f t="shared" si="0"/>
        <v>20-01-2017</v>
      </c>
      <c r="G5" s="3">
        <f t="shared" ca="1" si="1"/>
        <v>9</v>
      </c>
      <c r="H5" s="3"/>
      <c r="I5" s="3"/>
    </row>
    <row r="6" spans="1:9" ht="31.2" x14ac:dyDescent="0.3">
      <c r="A6" s="1">
        <v>3005</v>
      </c>
      <c r="B6" s="1" t="s">
        <v>98</v>
      </c>
      <c r="C6" s="1" t="s">
        <v>99</v>
      </c>
      <c r="D6" s="6">
        <v>54149</v>
      </c>
      <c r="E6" s="2">
        <v>43005</v>
      </c>
      <c r="F6" s="3" t="str">
        <f t="shared" si="0"/>
        <v>27-09-2017</v>
      </c>
      <c r="G6" s="3">
        <f t="shared" ca="1" si="1"/>
        <v>8</v>
      </c>
      <c r="H6" s="3"/>
      <c r="I6" s="3"/>
    </row>
    <row r="7" spans="1:9" ht="31.2" x14ac:dyDescent="0.3">
      <c r="A7" s="1">
        <v>3006</v>
      </c>
      <c r="B7" s="1" t="s">
        <v>100</v>
      </c>
      <c r="C7" s="1" t="s">
        <v>99</v>
      </c>
      <c r="D7" s="6">
        <v>78689</v>
      </c>
      <c r="E7" s="2">
        <v>43255</v>
      </c>
      <c r="F7" s="3" t="str">
        <f t="shared" si="0"/>
        <v>04-06-2018</v>
      </c>
      <c r="G7" s="3">
        <f t="shared" ca="1" si="1"/>
        <v>8</v>
      </c>
      <c r="H7" s="3"/>
      <c r="I7" s="3"/>
    </row>
    <row r="8" spans="1:9" ht="31.2" x14ac:dyDescent="0.3">
      <c r="A8" s="1">
        <v>3007</v>
      </c>
      <c r="B8" s="1" t="s">
        <v>101</v>
      </c>
      <c r="C8" s="1" t="s">
        <v>102</v>
      </c>
      <c r="D8" s="6">
        <v>35960</v>
      </c>
      <c r="E8" s="2">
        <v>43505</v>
      </c>
      <c r="F8" s="3" t="str">
        <f t="shared" si="0"/>
        <v>09-02-2019</v>
      </c>
      <c r="G8" s="3">
        <f t="shared" ca="1" si="1"/>
        <v>7</v>
      </c>
      <c r="H8" s="3"/>
      <c r="I8" s="3"/>
    </row>
    <row r="9" spans="1:9" ht="31.2" x14ac:dyDescent="0.3">
      <c r="A9" s="1">
        <v>3008</v>
      </c>
      <c r="B9" s="1" t="s">
        <v>103</v>
      </c>
      <c r="C9" s="1" t="s">
        <v>99</v>
      </c>
      <c r="D9" s="6">
        <v>91659</v>
      </c>
      <c r="E9" s="2">
        <v>43755</v>
      </c>
      <c r="F9" s="3" t="str">
        <f t="shared" si="0"/>
        <v>17-10-2019</v>
      </c>
      <c r="G9" s="3">
        <f t="shared" ca="1" si="1"/>
        <v>6</v>
      </c>
      <c r="H9" s="3"/>
      <c r="I9" s="3"/>
    </row>
    <row r="10" spans="1:9" ht="31.2" x14ac:dyDescent="0.3">
      <c r="A10" s="1">
        <v>3009</v>
      </c>
      <c r="B10" s="1" t="s">
        <v>104</v>
      </c>
      <c r="C10" s="1" t="s">
        <v>99</v>
      </c>
      <c r="D10" s="6">
        <v>90423</v>
      </c>
      <c r="E10" s="2">
        <v>44005</v>
      </c>
      <c r="F10" s="3" t="str">
        <f t="shared" si="0"/>
        <v>23-06-2020</v>
      </c>
      <c r="G10" s="3">
        <f t="shared" ca="1" si="1"/>
        <v>6</v>
      </c>
      <c r="H10" s="3"/>
      <c r="I10" s="3"/>
    </row>
    <row r="11" spans="1:9" ht="31.2" x14ac:dyDescent="0.3">
      <c r="A11" s="1">
        <v>3010</v>
      </c>
      <c r="B11" s="1" t="s">
        <v>105</v>
      </c>
      <c r="C11" s="1" t="s">
        <v>96</v>
      </c>
      <c r="D11" s="6">
        <v>107877</v>
      </c>
      <c r="E11" s="2">
        <v>44255</v>
      </c>
      <c r="F11" s="3" t="str">
        <f t="shared" si="0"/>
        <v>28-02-2021</v>
      </c>
      <c r="G11" s="3">
        <f t="shared" ca="1" si="1"/>
        <v>5</v>
      </c>
      <c r="H11" s="3"/>
      <c r="I11" s="3"/>
    </row>
    <row r="12" spans="1:9" ht="31.2" x14ac:dyDescent="0.3">
      <c r="A12" s="1">
        <v>3011</v>
      </c>
      <c r="B12" s="1" t="s">
        <v>106</v>
      </c>
      <c r="C12" s="1" t="s">
        <v>93</v>
      </c>
      <c r="D12" s="6">
        <v>107634</v>
      </c>
      <c r="E12" s="2">
        <v>44505</v>
      </c>
      <c r="F12" s="3" t="str">
        <f t="shared" si="0"/>
        <v>05-11-2021</v>
      </c>
      <c r="G12" s="3">
        <f t="shared" ca="1" si="1"/>
        <v>4</v>
      </c>
      <c r="H12" s="3"/>
      <c r="I12" s="3"/>
    </row>
    <row r="13" spans="1:9" ht="31.2" x14ac:dyDescent="0.3">
      <c r="A13" s="1">
        <v>3012</v>
      </c>
      <c r="B13" s="1" t="s">
        <v>107</v>
      </c>
      <c r="C13" s="1" t="s">
        <v>93</v>
      </c>
      <c r="D13" s="6">
        <v>35226</v>
      </c>
      <c r="E13" s="2">
        <v>44755</v>
      </c>
      <c r="F13" s="3" t="str">
        <f t="shared" si="0"/>
        <v>13-07-2022</v>
      </c>
      <c r="G13" s="3">
        <f t="shared" ca="1" si="1"/>
        <v>4</v>
      </c>
      <c r="H13" s="3"/>
      <c r="I13" s="3"/>
    </row>
    <row r="14" spans="1:9" ht="31.2" x14ac:dyDescent="0.3">
      <c r="A14" s="1">
        <v>3013</v>
      </c>
      <c r="B14" s="1" t="s">
        <v>108</v>
      </c>
      <c r="C14" s="1" t="s">
        <v>96</v>
      </c>
      <c r="D14" s="6">
        <v>40872</v>
      </c>
      <c r="E14" s="2">
        <v>45005</v>
      </c>
      <c r="F14" s="3" t="str">
        <f t="shared" si="0"/>
        <v>20-03-2023</v>
      </c>
      <c r="G14" s="3">
        <f t="shared" ca="1" si="1"/>
        <v>3</v>
      </c>
      <c r="H14" s="3"/>
      <c r="I14" s="3"/>
    </row>
    <row r="15" spans="1:9" ht="31.2" x14ac:dyDescent="0.3">
      <c r="A15" s="1">
        <v>3014</v>
      </c>
      <c r="B15" s="1" t="s">
        <v>109</v>
      </c>
      <c r="C15" s="1" t="s">
        <v>96</v>
      </c>
      <c r="D15" s="6">
        <v>55378</v>
      </c>
      <c r="E15" s="2">
        <v>45255</v>
      </c>
      <c r="F15" s="3" t="str">
        <f t="shared" si="0"/>
        <v>25-11-2023</v>
      </c>
      <c r="G15" s="3">
        <f t="shared" ca="1" si="1"/>
        <v>2</v>
      </c>
      <c r="H15" s="3"/>
      <c r="I15" s="3"/>
    </row>
    <row r="16" spans="1:9" ht="31.2" x14ac:dyDescent="0.3">
      <c r="A16" s="1">
        <v>3015</v>
      </c>
      <c r="B16" s="1" t="s">
        <v>110</v>
      </c>
      <c r="C16" s="1" t="s">
        <v>96</v>
      </c>
      <c r="D16" s="6">
        <v>63297</v>
      </c>
      <c r="E16" s="2">
        <v>45505</v>
      </c>
      <c r="F16" s="3" t="str">
        <f t="shared" si="0"/>
        <v>01-08-2024</v>
      </c>
      <c r="G16" s="3">
        <f t="shared" ca="1" si="1"/>
        <v>2</v>
      </c>
      <c r="H16" s="3"/>
      <c r="I16" s="3"/>
    </row>
    <row r="17" spans="1:9" ht="31.2" x14ac:dyDescent="0.3">
      <c r="A17" s="1">
        <v>3016</v>
      </c>
      <c r="B17" s="1" t="s">
        <v>111</v>
      </c>
      <c r="C17" s="1" t="s">
        <v>93</v>
      </c>
      <c r="D17" s="6">
        <v>114173</v>
      </c>
      <c r="E17" s="2">
        <v>45755</v>
      </c>
      <c r="F17" s="3" t="str">
        <f t="shared" si="0"/>
        <v>08-04-2025</v>
      </c>
      <c r="G17" s="3">
        <f t="shared" ca="1" si="1"/>
        <v>1</v>
      </c>
      <c r="H17" s="3"/>
      <c r="I17" s="3"/>
    </row>
    <row r="18" spans="1:9" ht="31.2" x14ac:dyDescent="0.3">
      <c r="A18" s="1">
        <v>3017</v>
      </c>
      <c r="B18" s="1" t="s">
        <v>112</v>
      </c>
      <c r="C18" s="1" t="s">
        <v>96</v>
      </c>
      <c r="D18" s="6">
        <v>86915</v>
      </c>
      <c r="E18" s="2">
        <v>46005</v>
      </c>
      <c r="F18" s="3" t="str">
        <f t="shared" si="0"/>
        <v>14-12-2025</v>
      </c>
      <c r="G18" s="3">
        <f t="shared" ca="1" si="1"/>
        <v>0</v>
      </c>
      <c r="H18" s="3"/>
      <c r="I18" s="3"/>
    </row>
    <row r="19" spans="1:9" ht="31.2" x14ac:dyDescent="0.3">
      <c r="A19" s="1">
        <v>3018</v>
      </c>
      <c r="B19" s="1" t="s">
        <v>113</v>
      </c>
      <c r="C19" s="1" t="s">
        <v>99</v>
      </c>
      <c r="D19" s="6">
        <v>116284</v>
      </c>
      <c r="E19" s="2">
        <v>46255</v>
      </c>
      <c r="F19" s="3" t="str">
        <f t="shared" si="0"/>
        <v>21-08-2026</v>
      </c>
      <c r="G19" s="3">
        <f t="shared" ca="1" si="1"/>
        <v>0</v>
      </c>
      <c r="H19" s="3"/>
      <c r="I19" s="3"/>
    </row>
    <row r="20" spans="1:9" ht="31.2" x14ac:dyDescent="0.3">
      <c r="A20" s="1">
        <v>3019</v>
      </c>
      <c r="B20" s="1" t="s">
        <v>114</v>
      </c>
      <c r="C20" s="1" t="s">
        <v>102</v>
      </c>
      <c r="D20" s="6">
        <v>116283</v>
      </c>
      <c r="E20" s="2">
        <v>46505</v>
      </c>
      <c r="F20" s="3" t="str">
        <f t="shared" si="0"/>
        <v>28-04-2027</v>
      </c>
      <c r="G20" s="3">
        <f t="shared" ca="1" si="1"/>
        <v>0</v>
      </c>
      <c r="H20" s="3"/>
      <c r="I20" s="3"/>
    </row>
    <row r="21" spans="1:9" ht="31.2" x14ac:dyDescent="0.3">
      <c r="A21" s="1">
        <v>3020</v>
      </c>
      <c r="B21" s="1" t="s">
        <v>115</v>
      </c>
      <c r="C21" s="1" t="s">
        <v>102</v>
      </c>
      <c r="D21" s="6">
        <v>99924</v>
      </c>
      <c r="E21" s="2">
        <v>46755</v>
      </c>
      <c r="F21" s="3" t="str">
        <f t="shared" si="0"/>
        <v>03-01-2028</v>
      </c>
      <c r="G21" s="3">
        <f t="shared" ca="1" si="1"/>
        <v>0</v>
      </c>
      <c r="H21" s="3"/>
      <c r="I21" s="3"/>
    </row>
  </sheetData>
  <conditionalFormatting sqref="A2:I21">
    <cfRule type="expression" dxfId="1" priority="1">
      <formula>MOD(ROW(),2)=1</formula>
    </cfRule>
    <cfRule type="expression" dxfId="0" priority="2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Sales data</vt:lpstr>
      <vt:lpstr>Emloyee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2026-08-23T09:20:32Z</dcterms:created>
  <dcterms:modified xsi:type="dcterms:W3CDTF">2026-08-25T18:03:24Z</dcterms:modified>
</cp:coreProperties>
</file>